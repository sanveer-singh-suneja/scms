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Project Deta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<sst xmlns="http://schemas.openxmlformats.org/spreadsheetml/2006/main" count="184" uniqueCount="133">
  <si>
    <t xml:space="preserve">SPORTS COMPLEX MANAGEMENT SYSTEM (SCMS) — PROJECT GANTT CHART</t>
  </si>
  <si>
    <t xml:space="preserve">Duration: August 2026 – December 2026     |     Project Lead: Jaspreet Singh     |     Team: Jaspreet Singh, Sanveer Singh, Harshjot Singh     |     Weekly Meeting: Every Monday</t>
  </si>
  <si>
    <t xml:space="preserve">TASK</t>
  </si>
  <si>
    <t xml:space="preserve">ASSIGNED TO</t>
  </si>
  <si>
    <t xml:space="preserve">PROGRESS</t>
  </si>
  <si>
    <t xml:space="preserve">START</t>
  </si>
  <si>
    <t xml:space="preserve">END</t>
  </si>
  <si>
    <t xml:space="preserve">DAYS</t>
  </si>
  <si>
    <t xml:space="preserve">SPAN (WKS)</t>
  </si>
  <si>
    <t xml:space="preserve">DARK WKS</t>
  </si>
  <si>
    <t xml:space="preserve">DARK END</t>
  </si>
  <si>
    <t xml:space="preserve">WEEKLY GANTT TIMELINE (WEEK NUMBER / WEEK-START DATE)</t>
  </si>
  <si>
    <t xml:space="preserve">PHASE 1 — REQUIREMENTS &amp; SCOPE</t>
  </si>
  <si>
    <t xml:space="preserve">Requirements analysis</t>
  </si>
  <si>
    <t xml:space="preserve">Jaspreet Singh</t>
  </si>
  <si>
    <t xml:space="preserve">Business rules</t>
  </si>
  <si>
    <t xml:space="preserve">Architecture scope</t>
  </si>
  <si>
    <t xml:space="preserve">Sanveer Singh</t>
  </si>
  <si>
    <t xml:space="preserve">Database/entity model</t>
  </si>
  <si>
    <t xml:space="preserve">Harshjot Singh</t>
  </si>
  <si>
    <t xml:space="preserve">API contract</t>
  </si>
  <si>
    <t xml:space="preserve">PHASE 2 — ARCHITECTURE &amp; DATABASE DESIGN</t>
  </si>
  <si>
    <t xml:space="preserve">FastAPI services</t>
  </si>
  <si>
    <t xml:space="preserve">SQLModel entities</t>
  </si>
  <si>
    <t xml:space="preserve">Alembic migrations</t>
  </si>
  <si>
    <t xml:space="preserve">Authentication</t>
  </si>
  <si>
    <t xml:space="preserve">Fairness engine</t>
  </si>
  <si>
    <t xml:space="preserve">Database/API consistency &amp; documentation</t>
  </si>
  <si>
    <t xml:space="preserve">PHASE 3 — BACKEND FOUNDATION</t>
  </si>
  <si>
    <t xml:space="preserve">FastAPI application</t>
  </si>
  <si>
    <t xml:space="preserve">PostgreSQL schema &amp; seed data</t>
  </si>
  <si>
    <t xml:space="preserve">Authentication &amp; core services</t>
  </si>
  <si>
    <t xml:space="preserve">Fairness allocation engine</t>
  </si>
  <si>
    <t xml:space="preserve">Administrative APIs &amp; verification</t>
  </si>
  <si>
    <t xml:space="preserve">PHASE 4 — WEB DASHBOARD</t>
  </si>
  <si>
    <t xml:space="preserve">Admin dashboard</t>
  </si>
  <si>
    <t xml:space="preserve">Inventory</t>
  </si>
  <si>
    <t xml:space="preserve">Slots</t>
  </si>
  <si>
    <t xml:space="preserve">Bookings &amp; transactions</t>
  </si>
  <si>
    <t xml:space="preserve">Analytics &amp; UI verification</t>
  </si>
  <si>
    <t xml:space="preserve">PHASE 5 — FLUTTER MOBILE APPLICATIONS</t>
  </si>
  <si>
    <t xml:space="preserve">Student app</t>
  </si>
  <si>
    <t xml:space="preserve">Staff app</t>
  </si>
  <si>
    <t xml:space="preserve">QR workflows</t>
  </si>
  <si>
    <t xml:space="preserve">Session handling</t>
  </si>
  <si>
    <t xml:space="preserve">Notifications</t>
  </si>
  <si>
    <t xml:space="preserve">PHASE 6 — MOBILE INTEGRATION</t>
  </si>
  <si>
    <t xml:space="preserve">Student E2E testing</t>
  </si>
  <si>
    <t xml:space="preserve">Staff E2E testing</t>
  </si>
  <si>
    <t xml:space="preserve">Fairness workflow validation</t>
  </si>
  <si>
    <t xml:space="preserve">Booking / QR integration</t>
  </si>
  <si>
    <t xml:space="preserve">PHASE 7 — FULL SYSTEM INTEGRATION</t>
  </si>
  <si>
    <t xml:space="preserve">Cross-platform workflow integration</t>
  </si>
  <si>
    <t xml:space="preserve">Integration issue resolution</t>
  </si>
  <si>
    <t xml:space="preserve">Fairness validation</t>
  </si>
  <si>
    <t xml:space="preserve">Docker/runtime verification</t>
  </si>
  <si>
    <t xml:space="preserve">Regression testing</t>
  </si>
  <si>
    <t xml:space="preserve">PHASE 8 — DEPLOYMENT PREPARATION</t>
  </si>
  <si>
    <t xml:space="preserve">Production secrets &amp; configuration</t>
  </si>
  <si>
    <t xml:space="preserve">Production database preparation</t>
  </si>
  <si>
    <t xml:space="preserve">HTTPS configuration</t>
  </si>
  <si>
    <t xml:space="preserve">Backup configuration</t>
  </si>
  <si>
    <t xml:space="preserve">Release configuration</t>
  </si>
  <si>
    <t xml:space="preserve">Production deployment</t>
  </si>
  <si>
    <t xml:space="preserve">Final acceptance testing</t>
  </si>
  <si>
    <t xml:space="preserve">Final documentation</t>
  </si>
  <si>
    <t xml:space="preserve">LEGEND</t>
  </si>
  <si>
    <t xml:space="preserve">Dark Green = Completed portion (proportional to Progress %; full bar only at 100%)</t>
  </si>
  <si>
    <t xml:space="preserve">Medium Green = 50-99% complete on a task that spans only one week (can't sub-divide a single cell)</t>
  </si>
  <si>
    <t xml:space="preserve">Light Green = Remaining planned duration (100% of bar when Progress = 0%)</t>
  </si>
  <si>
    <t xml:space="preserve">Red Vertical Line = Today</t>
  </si>
  <si>
    <t xml:space="preserve">PROJECT DETAILS — SPORTS COMPLEX MANAGEMENT SYSTEM (SCMS)</t>
  </si>
  <si>
    <t xml:space="preserve">1. PROJECT OVERVIEW</t>
  </si>
  <si>
    <t xml:space="preserve">Project Name</t>
  </si>
  <si>
    <t xml:space="preserve">Sports Complex Management System (SCMS)</t>
  </si>
  <si>
    <t xml:space="preserve">Project Objective</t>
  </si>
  <si>
    <t xml:space="preserve">To design and deliver an integrated platform for managing a university sports complex — covering fair allocation of slots/inventory, bookings and transactions, staff/student mobile access, and administrative oversight — through a FastAPI backend, a web admin dashboard, and Flutter mobile apps.</t>
  </si>
  <si>
    <t xml:space="preserve">Project Duration</t>
  </si>
  <si>
    <t xml:space="preserve">August 2026 – December 2026</t>
  </si>
  <si>
    <t xml:space="preserve">Project Lead</t>
  </si>
  <si>
    <t xml:space="preserve">Weekly Meeting</t>
  </si>
  <si>
    <t xml:space="preserve">Every Monday</t>
  </si>
  <si>
    <t xml:space="preserve">2. TEAM MEMBERS &amp; RESPONSIBILITIES</t>
  </si>
  <si>
    <t xml:space="preserve">Jaspreet Singh (Team Leader)</t>
  </si>
  <si>
    <t xml:space="preserve">System integration; requirements &amp; scope definition; architecture review; authentication; fairness engine design; QR/session workflows; full system integration; final integration &amp; deployment.</t>
  </si>
  <si>
    <t xml:space="preserve">Backend development (FastAPI, SQLModel, PostgreSQL, Alembic); REST APIs; web admin dashboard (inventory, slots, bookings &amp; transactions); Flutter mobile app implementation; booking/inventory/transaction functionality; production infrastructure configuration.</t>
  </si>
  <si>
    <t xml:space="preserve">Requirements &amp; workflow analysis; edge-case identification; database/entity consistency checks; API verification; analytics; data validation; UI and mobile (E2E) testing; fairness validation; regression testing; integration support; documentation; final acceptance testing.</t>
  </si>
  <si>
    <t xml:space="preserve">3. PROJECT ROADMAP — PHASE SUMMARY</t>
  </si>
  <si>
    <t xml:space="preserve">Phase</t>
  </si>
  <si>
    <t xml:space="preserve">Status / Progress</t>
  </si>
  <si>
    <t xml:space="preserve">Phase 1 — Requirements &amp; Scope</t>
  </si>
  <si>
    <t xml:space="preserve">Completed — 100%</t>
  </si>
  <si>
    <t xml:space="preserve">Phase 2 — Architecture &amp; Database Design</t>
  </si>
  <si>
    <t xml:space="preserve">Phase 3 — Backend Foundation</t>
  </si>
  <si>
    <t xml:space="preserve">Phase 4 — Web Dashboard</t>
  </si>
  <si>
    <t xml:space="preserve">Nearly Completed — 90%</t>
  </si>
  <si>
    <t xml:space="preserve">Phase 5 — Flutter Mobile Applications</t>
  </si>
  <si>
    <t xml:space="preserve">In Progress — 20%</t>
  </si>
  <si>
    <t xml:space="preserve">Phase 6 — Mobile Integration</t>
  </si>
  <si>
    <t xml:space="preserve">In Progress — 10%</t>
  </si>
  <si>
    <t xml:space="preserve">Phase 7 — Full System Integration</t>
  </si>
  <si>
    <t xml:space="preserve">Upcoming — 0%</t>
  </si>
  <si>
    <t xml:space="preserve">Phase 8 — Deployment Preparation</t>
  </si>
  <si>
    <t xml:space="preserve">4. PHASE DESCRIPTIONS</t>
  </si>
  <si>
    <t xml:space="preserve">Phase 1</t>
  </si>
  <si>
    <t xml:space="preserve">Gathered functional requirements, business rules, high-level architecture scope, the core database/entity model, and the API contract between frontend and backend.</t>
  </si>
  <si>
    <t xml:space="preserve">Phase 2</t>
  </si>
  <si>
    <t xml:space="preserve">Designed the FastAPI service structure, SQLModel entity layer, Alembic migration strategy, authentication approach, and the fairness allocation engine concept.</t>
  </si>
  <si>
    <t xml:space="preserve">Phase 3</t>
  </si>
  <si>
    <t xml:space="preserve">Built the backend foundation: the FastAPI application, PostgreSQL schema with seed data, authentication and core services, the fairness allocation engine, and administrative APIs.</t>
  </si>
  <si>
    <t xml:space="preserve">Phase 4</t>
  </si>
  <si>
    <t xml:space="preserve">Delivered the web admin dashboard covering inventory, slot management, bookings &amp; transactions, and analytics, with UI verification underway.</t>
  </si>
  <si>
    <t xml:space="preserve">Phase 5</t>
  </si>
  <si>
    <t xml:space="preserve">Building the Flutter mobile applications for students and staff, including QR-based workflows, session handling, and notifications.</t>
  </si>
  <si>
    <t xml:space="preserve">Phase 6</t>
  </si>
  <si>
    <t xml:space="preserve">Integrating the mobile applications with the backend and validating end-to-end student and staff flows, plus the fairness workflow.</t>
  </si>
  <si>
    <t xml:space="preserve">Phase 7</t>
  </si>
  <si>
    <t xml:space="preserve">Full cross-platform (web + mobile + backend) system integration, resolution of integration issues, fairness validation, Docker/runtime verification, and regression testing.</t>
  </si>
  <si>
    <t xml:space="preserve">Phase 8</t>
  </si>
  <si>
    <t xml:space="preserve">Preparation for production release: secrets/configuration management, production database setup, HTTPS, backups, release configuration, deployment, and final acceptance testing and documentation.</t>
  </si>
  <si>
    <t xml:space="preserve">5. KEY ASSUMPTIONS</t>
  </si>
  <si>
    <t xml:space="preserve">•</t>
  </si>
  <si>
    <t xml:space="preserve">Task durations are estimated in calendar days and assume no major scope changes.</t>
  </si>
  <si>
    <t xml:space="preserve">Progress percentages are self-reported by task owners at each weekly Monday meeting.</t>
  </si>
  <si>
    <t xml:space="preserve">Phase 7 and Phase 8 task breakdowns were derived from the stated deliverables for those phases and are subject to refinement once Phase 6 completes.</t>
  </si>
  <si>
    <t xml:space="preserve">The project assumes continuous team availability with no extended absences during Aug–Dec 2026.</t>
  </si>
  <si>
    <t xml:space="preserve">Production deployment (Phase 8) targets completion within December 2026.</t>
  </si>
  <si>
    <t xml:space="preserve">Because the Gantt renders at weekly granularity, the dark/light split per task is the nearest whole week-cell approximation of its Progress % — fully dark only at 100%, fully light at 0%.</t>
  </si>
  <si>
    <t xml:space="preserve">6. STATUS SUMMARY</t>
  </si>
  <si>
    <t xml:space="preserve">Overall Status</t>
  </si>
  <si>
    <t xml:space="preserve">Phases 1–3 are complete. Phase 4 (Web Dashboard) is nearly complete at 90%. Phases 5–6 (mobile apps and mobile integration) are actively in progress. Phases 7–8 (full system integration and deployment preparation) are upcoming, scheduled to run through mid-December 2026.</t>
  </si>
  <si>
    <t xml:space="preserve">Next Milestone</t>
  </si>
  <si>
    <t xml:space="preserve">Complete mobile E2E testing (Phase 6) and begin full system integration (Phase 7).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</si>
</sst>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"/>
    <numFmt numFmtId="166" formatCode="0%"/>
    <numFmt numFmtId="167" formatCode="dd\-mmm\-yy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5631"/>
      <name val="Calibri"/>
      <family val="0"/>
      <charset val="1"/>
    </font>
    <font>
      <i val="true"/>
      <sz val="10"/>
      <color rgb="FF3333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11"/>
      <color rgb="FF1E5631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E563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5631"/>
        <bgColor rgb="FF333333"/>
      </patternFill>
    </fill>
    <fill>
      <patternFill patternType="solid">
        <fgColor rgb="FF2E7D32"/>
        <bgColor rgb="FF1E5631"/>
      </patternFill>
    </fill>
    <fill>
      <patternFill patternType="solid">
        <fgColor rgb="FFEAF5EA"/>
        <bgColor rgb="FFF3F9F2"/>
      </patternFill>
    </fill>
    <fill>
      <patternFill patternType="solid">
        <fgColor rgb="FFE2F0E1"/>
        <bgColor rgb="FFEAF5EA"/>
      </patternFill>
    </fill>
    <fill>
      <patternFill patternType="solid">
        <fgColor rgb="FFFFFFFF"/>
        <bgColor rgb="FFF3F9F2"/>
      </patternFill>
    </fill>
    <fill>
      <patternFill patternType="solid">
        <fgColor rgb="FFF3F9F2"/>
        <bgColor rgb="FFEAF5EA"/>
      </patternFill>
    </fill>
    <fill>
      <patternFill patternType="solid">
        <fgColor rgb="FF4CAF50"/>
        <bgColor rgb="FF81C784"/>
      </patternFill>
    </fill>
    <fill>
      <patternFill patternType="solid">
        <fgColor rgb="FF81C784"/>
        <bgColor rgb="FF4CAF50"/>
      </patternFill>
    </fill>
    <fill>
      <patternFill patternType="solid">
        <fgColor rgb="FFC8E6C9"/>
        <bgColor rgb="FFE2F0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C000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4CAF50"/>
        </patternFill>
      </fill>
    </dxf>
    <dxf>
      <fill>
        <patternFill>
          <bgColor rgb="FF81C784"/>
        </patternFill>
      </fill>
    </dxf>
    <dxf>
      <fill>
        <patternFill>
          <bgColor rgb="FFC8E6C9"/>
        </patternFill>
      </fill>
    </dxf>
    <dxf>
      <border diagonalUp="false" diagonalDown="false">
        <left style="thick">
          <color rgb="FFC00000"/>
        </left>
        <right style="thick">
          <color rgb="FFC00000"/>
        </right>
        <top/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9F2"/>
      <rgbColor rgb="FFEAF5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E2F0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C784"/>
      <rgbColor rgb="FF003366"/>
      <rgbColor rgb="FF4CAF50"/>
      <rgbColor rgb="FF003300"/>
      <rgbColor rgb="FF1E563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true" outlineLevel="0" max="9" min="7" style="0" width="10"/>
    <col collapsed="false" customWidth="true" hidden="false" outlineLevel="0" max="31" min="10" style="0" width="6.3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6" hidden="false" customHeight="true" outlineLevel="0" collapsed="false"/>
    <row r="5" customFormat="false" ht="18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5" t="str">
        <f aca="false">"W"&amp;1</f>
        <v>W1</v>
      </c>
      <c r="K6" s="5" t="str">
        <f aca="false">"W"&amp;(VALUE(MID(J6,2,10))+1)</f>
        <v>W2</v>
      </c>
      <c r="L6" s="5" t="str">
        <f aca="false">"W"&amp;(VALUE(MID(K6,2,10))+1)</f>
        <v>W3</v>
      </c>
      <c r="M6" s="5" t="str">
        <f aca="false">"W"&amp;(VALUE(MID(L6,2,10))+1)</f>
        <v>W4</v>
      </c>
      <c r="N6" s="5" t="str">
        <f aca="false">"W"&amp;(VALUE(MID(M6,2,10))+1)</f>
        <v>W5</v>
      </c>
      <c r="O6" s="5" t="str">
        <f aca="false">"W"&amp;(VALUE(MID(N6,2,10))+1)</f>
        <v>W6</v>
      </c>
      <c r="P6" s="5" t="str">
        <f aca="false">"W"&amp;(VALUE(MID(O6,2,10))+1)</f>
        <v>W7</v>
      </c>
      <c r="Q6" s="5" t="str">
        <f aca="false">"W"&amp;(VALUE(MID(P6,2,10))+1)</f>
        <v>W8</v>
      </c>
      <c r="R6" s="5" t="str">
        <f aca="false">"W"&amp;(VALUE(MID(Q6,2,10))+1)</f>
        <v>W9</v>
      </c>
      <c r="S6" s="5" t="str">
        <f aca="false">"W"&amp;(VALUE(MID(R6,2,10))+1)</f>
        <v>W10</v>
      </c>
      <c r="T6" s="5" t="str">
        <f aca="false">"W"&amp;(VALUE(MID(S6,2,10))+1)</f>
        <v>W11</v>
      </c>
      <c r="U6" s="5" t="str">
        <f aca="false">"W"&amp;(VALUE(MID(T6,2,10))+1)</f>
        <v>W12</v>
      </c>
      <c r="V6" s="5" t="str">
        <f aca="false">"W"&amp;(VALUE(MID(U6,2,10))+1)</f>
        <v>W13</v>
      </c>
      <c r="W6" s="5" t="str">
        <f aca="false">"W"&amp;(VALUE(MID(V6,2,10))+1)</f>
        <v>W14</v>
      </c>
      <c r="X6" s="5" t="str">
        <f aca="false">"W"&amp;(VALUE(MID(W6,2,10))+1)</f>
        <v>W15</v>
      </c>
      <c r="Y6" s="5" t="str">
        <f aca="false">"W"&amp;(VALUE(MID(X6,2,10))+1)</f>
        <v>W16</v>
      </c>
      <c r="Z6" s="5" t="str">
        <f aca="false">"W"&amp;(VALUE(MID(Y6,2,10))+1)</f>
        <v>W17</v>
      </c>
      <c r="AA6" s="5" t="str">
        <f aca="false">"W"&amp;(VALUE(MID(Z6,2,10))+1)</f>
        <v>W18</v>
      </c>
      <c r="AB6" s="5" t="str">
        <f aca="false">"W"&amp;(VALUE(MID(AA6,2,10))+1)</f>
        <v>W19</v>
      </c>
      <c r="AC6" s="5" t="str">
        <f aca="false">"W"&amp;(VALUE(MID(AB6,2,10))+1)</f>
        <v>W20</v>
      </c>
      <c r="AD6" s="5" t="str">
        <f aca="false">"W"&amp;(VALUE(MID(AC6,2,10))+1)</f>
        <v>W21</v>
      </c>
      <c r="AE6" s="5" t="str">
        <f aca="false">"W"&amp;(VALUE(MID(AD6,2,10))+1)</f>
        <v>W22</v>
      </c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 t="n">
        <v>46237</v>
      </c>
      <c r="K7" s="6" t="n">
        <f aca="false">J7+7</f>
        <v>46244</v>
      </c>
      <c r="L7" s="6" t="n">
        <f aca="false">K7+7</f>
        <v>46251</v>
      </c>
      <c r="M7" s="6" t="n">
        <f aca="false">L7+7</f>
        <v>46258</v>
      </c>
      <c r="N7" s="6" t="n">
        <f aca="false">M7+7</f>
        <v>46265</v>
      </c>
      <c r="O7" s="6" t="n">
        <f aca="false">N7+7</f>
        <v>46272</v>
      </c>
      <c r="P7" s="6" t="n">
        <f aca="false">O7+7</f>
        <v>46279</v>
      </c>
      <c r="Q7" s="6" t="n">
        <f aca="false">P7+7</f>
        <v>46286</v>
      </c>
      <c r="R7" s="6" t="n">
        <f aca="false">Q7+7</f>
        <v>46293</v>
      </c>
      <c r="S7" s="6" t="n">
        <f aca="false">R7+7</f>
        <v>46300</v>
      </c>
      <c r="T7" s="6" t="n">
        <f aca="false">S7+7</f>
        <v>46307</v>
      </c>
      <c r="U7" s="6" t="n">
        <f aca="false">T7+7</f>
        <v>46314</v>
      </c>
      <c r="V7" s="6" t="n">
        <f aca="false">U7+7</f>
        <v>46321</v>
      </c>
      <c r="W7" s="6" t="n">
        <f aca="false">V7+7</f>
        <v>46328</v>
      </c>
      <c r="X7" s="6" t="n">
        <f aca="false">W7+7</f>
        <v>46335</v>
      </c>
      <c r="Y7" s="6" t="n">
        <f aca="false">X7+7</f>
        <v>46342</v>
      </c>
      <c r="Z7" s="6" t="n">
        <f aca="false">Y7+7</f>
        <v>46349</v>
      </c>
      <c r="AA7" s="6" t="n">
        <f aca="false">Z7+7</f>
        <v>46356</v>
      </c>
      <c r="AB7" s="6" t="n">
        <f aca="false">AA7+7</f>
        <v>46363</v>
      </c>
      <c r="AC7" s="6" t="n">
        <f aca="false">AB7+7</f>
        <v>46370</v>
      </c>
      <c r="AD7" s="6" t="n">
        <f aca="false">AC7+7</f>
        <v>46377</v>
      </c>
      <c r="AE7" s="6" t="n">
        <f aca="false">AD7+7</f>
        <v>46384</v>
      </c>
    </row>
    <row r="8" customFormat="false" ht="15" hidden="false" customHeight="true" outlineLevel="0" collapsed="false">
      <c r="A8" s="7" t="s">
        <v>12</v>
      </c>
      <c r="B8" s="8"/>
      <c r="C8" s="9" t="n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customFormat="false" ht="15" hidden="false" customHeight="true" outlineLevel="0" collapsed="false">
      <c r="A9" s="10" t="s">
        <v>13</v>
      </c>
      <c r="B9" s="10" t="s">
        <v>14</v>
      </c>
      <c r="C9" s="11" t="n">
        <v>1</v>
      </c>
      <c r="D9" s="12" t="n">
        <v>46237</v>
      </c>
      <c r="E9" s="12" t="n">
        <v>46238</v>
      </c>
      <c r="F9" s="13" t="n">
        <f aca="false">E9-D9+1</f>
        <v>2</v>
      </c>
      <c r="G9" s="13" t="n">
        <f aca="false">SUMPRODUCT((J$7:AE$7&lt;=$E9)*(J$7:AE$7+6&gt;=$D9))</f>
        <v>1</v>
      </c>
      <c r="H9" s="13" t="n">
        <f aca="false">IF($C9=0,0,IF($C9&gt;=1,$G9,MIN($G9-1,ROUND($C9*$G9,0))))</f>
        <v>1</v>
      </c>
      <c r="I9" s="12" t="n">
        <f aca="false">IF($H9=0,"",$D9-MOD($D9-$J$7,7)+7*$H9-1)</f>
        <v>46243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customFormat="false" ht="15" hidden="false" customHeight="true" outlineLevel="0" collapsed="false">
      <c r="A10" s="15" t="s">
        <v>15</v>
      </c>
      <c r="B10" s="15" t="s">
        <v>14</v>
      </c>
      <c r="C10" s="16" t="n">
        <v>1</v>
      </c>
      <c r="D10" s="17" t="n">
        <v>46237</v>
      </c>
      <c r="E10" s="17" t="n">
        <v>46239</v>
      </c>
      <c r="F10" s="18" t="n">
        <f aca="false">E10-D10+1</f>
        <v>3</v>
      </c>
      <c r="G10" s="18" t="n">
        <f aca="false">SUMPRODUCT((J$7:AE$7&lt;=$E10)*(J$7:AE$7+6&gt;=$D10))</f>
        <v>1</v>
      </c>
      <c r="H10" s="18" t="n">
        <f aca="false">IF($C10=0,0,IF($C10&gt;=1,$G10,MIN($G10-1,ROUND($C10*$G10,0))))</f>
        <v>1</v>
      </c>
      <c r="I10" s="17" t="n">
        <f aca="false">IF($H10=0,"",$D10-MOD($D10-$J$7,7)+7*$H10-1)</f>
        <v>46243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customFormat="false" ht="15" hidden="false" customHeight="true" outlineLevel="0" collapsed="false">
      <c r="A11" s="10" t="s">
        <v>16</v>
      </c>
      <c r="B11" s="10" t="s">
        <v>17</v>
      </c>
      <c r="C11" s="11" t="n">
        <v>1</v>
      </c>
      <c r="D11" s="12" t="n">
        <v>46238</v>
      </c>
      <c r="E11" s="12" t="n">
        <v>46240</v>
      </c>
      <c r="F11" s="13" t="n">
        <f aca="false">E11-D11+1</f>
        <v>3</v>
      </c>
      <c r="G11" s="13" t="n">
        <f aca="false">SUMPRODUCT((J$7:AE$7&lt;=$E11)*(J$7:AE$7+6&gt;=$D11))</f>
        <v>1</v>
      </c>
      <c r="H11" s="13" t="n">
        <f aca="false">IF($C11=0,0,IF($C11&gt;=1,$G11,MIN($G11-1,ROUND($C11*$G11,0))))</f>
        <v>1</v>
      </c>
      <c r="I11" s="12" t="n">
        <f aca="false">IF($H11=0,"",$D11-MOD($D11-$J$7,7)+7*$H11-1)</f>
        <v>46243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customFormat="false" ht="15" hidden="false" customHeight="true" outlineLevel="0" collapsed="false">
      <c r="A12" s="15" t="s">
        <v>18</v>
      </c>
      <c r="B12" s="15" t="s">
        <v>19</v>
      </c>
      <c r="C12" s="16" t="n">
        <v>1</v>
      </c>
      <c r="D12" s="17" t="n">
        <v>46239</v>
      </c>
      <c r="E12" s="17" t="n">
        <v>46242</v>
      </c>
      <c r="F12" s="18" t="n">
        <f aca="false">E12-D12+1</f>
        <v>4</v>
      </c>
      <c r="G12" s="18" t="n">
        <f aca="false">SUMPRODUCT((J$7:AE$7&lt;=$E12)*(J$7:AE$7+6&gt;=$D12))</f>
        <v>1</v>
      </c>
      <c r="H12" s="18" t="n">
        <f aca="false">IF($C12=0,0,IF($C12&gt;=1,$G12,MIN($G12-1,ROUND($C12*$G12,0))))</f>
        <v>1</v>
      </c>
      <c r="I12" s="17" t="n">
        <f aca="false">IF($H12=0,"",$D12-MOD($D12-$J$7,7)+7*$H12-1)</f>
        <v>46243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customFormat="false" ht="15" hidden="false" customHeight="true" outlineLevel="0" collapsed="false">
      <c r="A13" s="10" t="s">
        <v>20</v>
      </c>
      <c r="B13" s="10" t="s">
        <v>17</v>
      </c>
      <c r="C13" s="11" t="n">
        <v>1</v>
      </c>
      <c r="D13" s="12" t="n">
        <v>46241</v>
      </c>
      <c r="E13" s="12" t="n">
        <v>46243</v>
      </c>
      <c r="F13" s="13" t="n">
        <f aca="false">E13-D13+1</f>
        <v>3</v>
      </c>
      <c r="G13" s="13" t="n">
        <f aca="false">SUMPRODUCT((J$7:AE$7&lt;=$E13)*(J$7:AE$7+6&gt;=$D13))</f>
        <v>1</v>
      </c>
      <c r="H13" s="13" t="n">
        <f aca="false">IF($C13=0,0,IF($C13&gt;=1,$G13,MIN($G13-1,ROUND($C13*$G13,0))))</f>
        <v>1</v>
      </c>
      <c r="I13" s="12" t="n">
        <f aca="false">IF($H13=0,"",$D13-MOD($D13-$J$7,7)+7*$H13-1)</f>
        <v>46243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customFormat="false" ht="15" hidden="false" customHeight="true" outlineLevel="0" collapsed="false">
      <c r="A14" s="7" t="s">
        <v>21</v>
      </c>
      <c r="B14" s="8"/>
      <c r="C14" s="9" t="n">
        <v>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customFormat="false" ht="15" hidden="false" customHeight="true" outlineLevel="0" collapsed="false">
      <c r="A15" s="10" t="s">
        <v>22</v>
      </c>
      <c r="B15" s="10" t="s">
        <v>17</v>
      </c>
      <c r="C15" s="11" t="n">
        <v>1</v>
      </c>
      <c r="D15" s="12" t="n">
        <v>46244</v>
      </c>
      <c r="E15" s="12" t="n">
        <v>46246</v>
      </c>
      <c r="F15" s="13" t="n">
        <f aca="false">E15-D15+1</f>
        <v>3</v>
      </c>
      <c r="G15" s="13" t="n">
        <f aca="false">SUMPRODUCT((J$7:AE$7&lt;=$E15)*(J$7:AE$7+6&gt;=$D15))</f>
        <v>1</v>
      </c>
      <c r="H15" s="13" t="n">
        <f aca="false">IF($C15=0,0,IF($C15&gt;=1,$G15,MIN($G15-1,ROUND($C15*$G15,0))))</f>
        <v>1</v>
      </c>
      <c r="I15" s="12" t="n">
        <f aca="false">IF($H15=0,"",$D15-MOD($D15-$J$7,7)+7*$H15-1)</f>
        <v>46250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customFormat="false" ht="15" hidden="false" customHeight="true" outlineLevel="0" collapsed="false">
      <c r="A16" s="15" t="s">
        <v>23</v>
      </c>
      <c r="B16" s="15" t="s">
        <v>17</v>
      </c>
      <c r="C16" s="16" t="n">
        <v>1</v>
      </c>
      <c r="D16" s="17" t="n">
        <v>46244</v>
      </c>
      <c r="E16" s="17" t="n">
        <v>46247</v>
      </c>
      <c r="F16" s="18" t="n">
        <f aca="false">E16-D16+1</f>
        <v>4</v>
      </c>
      <c r="G16" s="18" t="n">
        <f aca="false">SUMPRODUCT((J$7:AE$7&lt;=$E16)*(J$7:AE$7+6&gt;=$D16))</f>
        <v>1</v>
      </c>
      <c r="H16" s="18" t="n">
        <f aca="false">IF($C16=0,0,IF($C16&gt;=1,$G16,MIN($G16-1,ROUND($C16*$G16,0))))</f>
        <v>1</v>
      </c>
      <c r="I16" s="17" t="n">
        <f aca="false">IF($H16=0,"",$D16-MOD($D16-$J$7,7)+7*$H16-1)</f>
        <v>46250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customFormat="false" ht="15" hidden="false" customHeight="true" outlineLevel="0" collapsed="false">
      <c r="A17" s="10" t="s">
        <v>24</v>
      </c>
      <c r="B17" s="10" t="s">
        <v>17</v>
      </c>
      <c r="C17" s="11" t="n">
        <v>1</v>
      </c>
      <c r="D17" s="12" t="n">
        <v>46246</v>
      </c>
      <c r="E17" s="12" t="n">
        <v>46248</v>
      </c>
      <c r="F17" s="13" t="n">
        <f aca="false">E17-D17+1</f>
        <v>3</v>
      </c>
      <c r="G17" s="13" t="n">
        <f aca="false">SUMPRODUCT((J$7:AE$7&lt;=$E17)*(J$7:AE$7+6&gt;=$D17))</f>
        <v>1</v>
      </c>
      <c r="H17" s="13" t="n">
        <f aca="false">IF($C17=0,0,IF($C17&gt;=1,$G17,MIN($G17-1,ROUND($C17*$G17,0))))</f>
        <v>1</v>
      </c>
      <c r="I17" s="12" t="n">
        <f aca="false">IF($H17=0,"",$D17-MOD($D17-$J$7,7)+7*$H17-1)</f>
        <v>46250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customFormat="false" ht="15" hidden="false" customHeight="true" outlineLevel="0" collapsed="false">
      <c r="A18" s="15" t="s">
        <v>25</v>
      </c>
      <c r="B18" s="15" t="s">
        <v>14</v>
      </c>
      <c r="C18" s="16" t="n">
        <v>1</v>
      </c>
      <c r="D18" s="17" t="n">
        <v>46247</v>
      </c>
      <c r="E18" s="17" t="n">
        <v>46249</v>
      </c>
      <c r="F18" s="18" t="n">
        <f aca="false">E18-D18+1</f>
        <v>3</v>
      </c>
      <c r="G18" s="18" t="n">
        <f aca="false">SUMPRODUCT((J$7:AE$7&lt;=$E18)*(J$7:AE$7+6&gt;=$D18))</f>
        <v>1</v>
      </c>
      <c r="H18" s="18" t="n">
        <f aca="false">IF($C18=0,0,IF($C18&gt;=1,$G18,MIN($G18-1,ROUND($C18*$G18,0))))</f>
        <v>1</v>
      </c>
      <c r="I18" s="17" t="n">
        <f aca="false">IF($H18=0,"",$D18-MOD($D18-$J$7,7)+7*$H18-1)</f>
        <v>46250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customFormat="false" ht="15" hidden="false" customHeight="true" outlineLevel="0" collapsed="false">
      <c r="A19" s="10" t="s">
        <v>26</v>
      </c>
      <c r="B19" s="10" t="s">
        <v>14</v>
      </c>
      <c r="C19" s="11" t="n">
        <v>1</v>
      </c>
      <c r="D19" s="12" t="n">
        <v>46248</v>
      </c>
      <c r="E19" s="12" t="n">
        <v>46250</v>
      </c>
      <c r="F19" s="13" t="n">
        <f aca="false">E19-D19+1</f>
        <v>3</v>
      </c>
      <c r="G19" s="13" t="n">
        <f aca="false">SUMPRODUCT((J$7:AE$7&lt;=$E19)*(J$7:AE$7+6&gt;=$D19))</f>
        <v>1</v>
      </c>
      <c r="H19" s="13" t="n">
        <f aca="false">IF($C19=0,0,IF($C19&gt;=1,$G19,MIN($G19-1,ROUND($C19*$G19,0))))</f>
        <v>1</v>
      </c>
      <c r="I19" s="12" t="n">
        <f aca="false">IF($H19=0,"",$D19-MOD($D19-$J$7,7)+7*$H19-1)</f>
        <v>46250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customFormat="false" ht="15" hidden="false" customHeight="true" outlineLevel="0" collapsed="false">
      <c r="A20" s="15" t="s">
        <v>27</v>
      </c>
      <c r="B20" s="15" t="s">
        <v>19</v>
      </c>
      <c r="C20" s="16" t="n">
        <v>1</v>
      </c>
      <c r="D20" s="17" t="n">
        <v>46249</v>
      </c>
      <c r="E20" s="17" t="n">
        <v>46251</v>
      </c>
      <c r="F20" s="18" t="n">
        <f aca="false">E20-D20+1</f>
        <v>3</v>
      </c>
      <c r="G20" s="18" t="n">
        <f aca="false">SUMPRODUCT((J$7:AE$7&lt;=$E20)*(J$7:AE$7+6&gt;=$D20))</f>
        <v>2</v>
      </c>
      <c r="H20" s="18" t="n">
        <f aca="false">IF($C20=0,0,IF($C20&gt;=1,$G20,MIN($G20-1,ROUND($C20*$G20,0))))</f>
        <v>2</v>
      </c>
      <c r="I20" s="17" t="n">
        <f aca="false">IF($H20=0,"",$D20-MOD($D20-$J$7,7)+7*$H20-1)</f>
        <v>46257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customFormat="false" ht="15" hidden="false" customHeight="true" outlineLevel="0" collapsed="false">
      <c r="A21" s="7" t="s">
        <v>28</v>
      </c>
      <c r="B21" s="8"/>
      <c r="C21" s="9" t="n">
        <v>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customFormat="false" ht="15" hidden="false" customHeight="true" outlineLevel="0" collapsed="false">
      <c r="A22" s="15" t="s">
        <v>29</v>
      </c>
      <c r="B22" s="15" t="s">
        <v>17</v>
      </c>
      <c r="C22" s="16" t="n">
        <v>1</v>
      </c>
      <c r="D22" s="17" t="n">
        <v>46251</v>
      </c>
      <c r="E22" s="17" t="n">
        <v>46255</v>
      </c>
      <c r="F22" s="18" t="n">
        <f aca="false">E22-D22+1</f>
        <v>5</v>
      </c>
      <c r="G22" s="18" t="n">
        <f aca="false">SUMPRODUCT((J$7:AE$7&lt;=$E22)*(J$7:AE$7+6&gt;=$D22))</f>
        <v>1</v>
      </c>
      <c r="H22" s="18" t="n">
        <f aca="false">IF($C22=0,0,IF($C22&gt;=1,$G22,MIN($G22-1,ROUND($C22*$G22,0))))</f>
        <v>1</v>
      </c>
      <c r="I22" s="17" t="n">
        <f aca="false">IF($H22=0,"",$D22-MOD($D22-$J$7,7)+7*$H22-1)</f>
        <v>46257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customFormat="false" ht="15" hidden="false" customHeight="true" outlineLevel="0" collapsed="false">
      <c r="A23" s="10" t="s">
        <v>30</v>
      </c>
      <c r="B23" s="10" t="s">
        <v>17</v>
      </c>
      <c r="C23" s="11" t="n">
        <v>1</v>
      </c>
      <c r="D23" s="12" t="n">
        <v>46252</v>
      </c>
      <c r="E23" s="12" t="n">
        <v>46257</v>
      </c>
      <c r="F23" s="13" t="n">
        <f aca="false">E23-D23+1</f>
        <v>6</v>
      </c>
      <c r="G23" s="13" t="n">
        <f aca="false">SUMPRODUCT((J$7:AE$7&lt;=$E23)*(J$7:AE$7+6&gt;=$D23))</f>
        <v>1</v>
      </c>
      <c r="H23" s="13" t="n">
        <f aca="false">IF($C23=0,0,IF($C23&gt;=1,$G23,MIN($G23-1,ROUND($C23*$G23,0))))</f>
        <v>1</v>
      </c>
      <c r="I23" s="12" t="n">
        <f aca="false">IF($H23=0,"",$D23-MOD($D23-$J$7,7)+7*$H23-1)</f>
        <v>46257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customFormat="false" ht="15" hidden="false" customHeight="true" outlineLevel="0" collapsed="false">
      <c r="A24" s="15" t="s">
        <v>31</v>
      </c>
      <c r="B24" s="15" t="s">
        <v>17</v>
      </c>
      <c r="C24" s="16" t="n">
        <v>1</v>
      </c>
      <c r="D24" s="17" t="n">
        <v>46254</v>
      </c>
      <c r="E24" s="17" t="n">
        <v>46260</v>
      </c>
      <c r="F24" s="18" t="n">
        <f aca="false">E24-D24+1</f>
        <v>7</v>
      </c>
      <c r="G24" s="18" t="n">
        <f aca="false">SUMPRODUCT((J$7:AE$7&lt;=$E24)*(J$7:AE$7+6&gt;=$D24))</f>
        <v>2</v>
      </c>
      <c r="H24" s="18" t="n">
        <f aca="false">IF($C24=0,0,IF($C24&gt;=1,$G24,MIN($G24-1,ROUND($C24*$G24,0))))</f>
        <v>2</v>
      </c>
      <c r="I24" s="17" t="n">
        <f aca="false">IF($H24=0,"",$D24-MOD($D24-$J$7,7)+7*$H24-1)</f>
        <v>46264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customFormat="false" ht="15" hidden="false" customHeight="true" outlineLevel="0" collapsed="false">
      <c r="A25" s="10" t="s">
        <v>32</v>
      </c>
      <c r="B25" s="10" t="s">
        <v>14</v>
      </c>
      <c r="C25" s="11" t="n">
        <v>1</v>
      </c>
      <c r="D25" s="12" t="n">
        <v>46256</v>
      </c>
      <c r="E25" s="12" t="n">
        <v>46262</v>
      </c>
      <c r="F25" s="13" t="n">
        <f aca="false">E25-D25+1</f>
        <v>7</v>
      </c>
      <c r="G25" s="13" t="n">
        <f aca="false">SUMPRODUCT((J$7:AE$7&lt;=$E25)*(J$7:AE$7+6&gt;=$D25))</f>
        <v>2</v>
      </c>
      <c r="H25" s="13" t="n">
        <f aca="false">IF($C25=0,0,IF($C25&gt;=1,$G25,MIN($G25-1,ROUND($C25*$G25,0))))</f>
        <v>2</v>
      </c>
      <c r="I25" s="12" t="n">
        <f aca="false">IF($H25=0,"",$D25-MOD($D25-$J$7,7)+7*$H25-1)</f>
        <v>46264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customFormat="false" ht="15" hidden="false" customHeight="true" outlineLevel="0" collapsed="false">
      <c r="A26" s="15" t="s">
        <v>33</v>
      </c>
      <c r="B26" s="15" t="s">
        <v>19</v>
      </c>
      <c r="C26" s="16" t="n">
        <v>1</v>
      </c>
      <c r="D26" s="17" t="n">
        <v>46258</v>
      </c>
      <c r="E26" s="17" t="n">
        <v>46264</v>
      </c>
      <c r="F26" s="18" t="n">
        <f aca="false">E26-D26+1</f>
        <v>7</v>
      </c>
      <c r="G26" s="18" t="n">
        <f aca="false">SUMPRODUCT((J$7:AE$7&lt;=$E26)*(J$7:AE$7+6&gt;=$D26))</f>
        <v>1</v>
      </c>
      <c r="H26" s="18" t="n">
        <f aca="false">IF($C26=0,0,IF($C26&gt;=1,$G26,MIN($G26-1,ROUND($C26*$G26,0))))</f>
        <v>1</v>
      </c>
      <c r="I26" s="17" t="n">
        <f aca="false">IF($H26=0,"",$D26-MOD($D26-$J$7,7)+7*$H26-1)</f>
        <v>46264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customFormat="false" ht="15" hidden="false" customHeight="true" outlineLevel="0" collapsed="false">
      <c r="A27" s="7" t="s">
        <v>34</v>
      </c>
      <c r="B27" s="8"/>
      <c r="C27" s="9" t="n">
        <v>0.9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customFormat="false" ht="15" hidden="false" customHeight="true" outlineLevel="0" collapsed="false">
      <c r="A28" s="15" t="s">
        <v>35</v>
      </c>
      <c r="B28" s="15" t="s">
        <v>17</v>
      </c>
      <c r="C28" s="16" t="n">
        <v>0.9</v>
      </c>
      <c r="D28" s="17" t="n">
        <v>46258</v>
      </c>
      <c r="E28" s="17" t="n">
        <v>46263</v>
      </c>
      <c r="F28" s="18" t="n">
        <f aca="false">E28-D28+1</f>
        <v>6</v>
      </c>
      <c r="G28" s="18" t="n">
        <f aca="false">SUMPRODUCT((J$7:AE$7&lt;=$E28)*(J$7:AE$7+6&gt;=$D28))</f>
        <v>1</v>
      </c>
      <c r="H28" s="18" t="n">
        <f aca="false">IF($C28=0,0,IF($C28&gt;=1,$G28,MIN($G28-1,ROUND($C28*$G28,0))))</f>
        <v>0</v>
      </c>
      <c r="I28" s="17" t="str">
        <f aca="false">IF($H28=0,"",$D28-MOD($D28-$J$7,7)+7*$H28-1)</f>
        <v/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customFormat="false" ht="15" hidden="false" customHeight="true" outlineLevel="0" collapsed="false">
      <c r="A29" s="10" t="s">
        <v>36</v>
      </c>
      <c r="B29" s="10" t="s">
        <v>17</v>
      </c>
      <c r="C29" s="11" t="n">
        <v>0.9</v>
      </c>
      <c r="D29" s="12" t="n">
        <v>46261</v>
      </c>
      <c r="E29" s="12" t="n">
        <v>46266</v>
      </c>
      <c r="F29" s="13" t="n">
        <f aca="false">E29-D29+1</f>
        <v>6</v>
      </c>
      <c r="G29" s="13" t="n">
        <f aca="false">SUMPRODUCT((J$7:AE$7&lt;=$E29)*(J$7:AE$7+6&gt;=$D29))</f>
        <v>2</v>
      </c>
      <c r="H29" s="13" t="n">
        <f aca="false">IF($C29=0,0,IF($C29&gt;=1,$G29,MIN($G29-1,ROUND($C29*$G29,0))))</f>
        <v>1</v>
      </c>
      <c r="I29" s="12" t="n">
        <f aca="false">IF($H29=0,"",$D29-MOD($D29-$J$7,7)+7*$H29-1)</f>
        <v>46264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customFormat="false" ht="15" hidden="false" customHeight="true" outlineLevel="0" collapsed="false">
      <c r="A30" s="15" t="s">
        <v>37</v>
      </c>
      <c r="B30" s="15" t="s">
        <v>17</v>
      </c>
      <c r="C30" s="16" t="n">
        <v>0.9</v>
      </c>
      <c r="D30" s="17" t="n">
        <v>46263</v>
      </c>
      <c r="E30" s="17" t="n">
        <v>46267</v>
      </c>
      <c r="F30" s="18" t="n">
        <f aca="false">E30-D30+1</f>
        <v>5</v>
      </c>
      <c r="G30" s="18" t="n">
        <f aca="false">SUMPRODUCT((J$7:AE$7&lt;=$E30)*(J$7:AE$7+6&gt;=$D30))</f>
        <v>2</v>
      </c>
      <c r="H30" s="18" t="n">
        <f aca="false">IF($C30=0,0,IF($C30&gt;=1,$G30,MIN($G30-1,ROUND($C30*$G30,0))))</f>
        <v>1</v>
      </c>
      <c r="I30" s="17" t="n">
        <f aca="false">IF($H30=0,"",$D30-MOD($D30-$J$7,7)+7*$H30-1)</f>
        <v>46264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customFormat="false" ht="15" hidden="false" customHeight="true" outlineLevel="0" collapsed="false">
      <c r="A31" s="10" t="s">
        <v>38</v>
      </c>
      <c r="B31" s="10" t="s">
        <v>17</v>
      </c>
      <c r="C31" s="11" t="n">
        <v>0.9</v>
      </c>
      <c r="D31" s="12" t="n">
        <v>46264</v>
      </c>
      <c r="E31" s="12" t="n">
        <v>46269</v>
      </c>
      <c r="F31" s="13" t="n">
        <f aca="false">E31-D31+1</f>
        <v>6</v>
      </c>
      <c r="G31" s="13" t="n">
        <f aca="false">SUMPRODUCT((J$7:AE$7&lt;=$E31)*(J$7:AE$7+6&gt;=$D31))</f>
        <v>2</v>
      </c>
      <c r="H31" s="13" t="n">
        <f aca="false">IF($C31=0,0,IF($C31&gt;=1,$G31,MIN($G31-1,ROUND($C31*$G31,0))))</f>
        <v>1</v>
      </c>
      <c r="I31" s="12" t="n">
        <f aca="false">IF($H31=0,"",$D31-MOD($D31-$J$7,7)+7*$H31-1)</f>
        <v>46264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customFormat="false" ht="15" hidden="false" customHeight="true" outlineLevel="0" collapsed="false">
      <c r="A32" s="15" t="s">
        <v>39</v>
      </c>
      <c r="B32" s="15" t="s">
        <v>19</v>
      </c>
      <c r="C32" s="16" t="n">
        <v>0.9</v>
      </c>
      <c r="D32" s="17" t="n">
        <v>46267</v>
      </c>
      <c r="E32" s="17" t="n">
        <v>46271</v>
      </c>
      <c r="F32" s="18" t="n">
        <f aca="false">E32-D32+1</f>
        <v>5</v>
      </c>
      <c r="G32" s="18" t="n">
        <f aca="false">SUMPRODUCT((J$7:AE$7&lt;=$E32)*(J$7:AE$7+6&gt;=$D32))</f>
        <v>1</v>
      </c>
      <c r="H32" s="18" t="n">
        <f aca="false">IF($C32=0,0,IF($C32&gt;=1,$G32,MIN($G32-1,ROUND($C32*$G32,0))))</f>
        <v>0</v>
      </c>
      <c r="I32" s="17" t="str">
        <f aca="false">IF($H32=0,"",$D32-MOD($D32-$J$7,7)+7*$H32-1)</f>
        <v/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customFormat="false" ht="15" hidden="false" customHeight="true" outlineLevel="0" collapsed="false">
      <c r="A33" s="7" t="s">
        <v>40</v>
      </c>
      <c r="B33" s="8"/>
      <c r="C33" s="9" t="n">
        <v>0.2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customFormat="false" ht="15" hidden="false" customHeight="true" outlineLevel="0" collapsed="false">
      <c r="A34" s="15" t="s">
        <v>41</v>
      </c>
      <c r="B34" s="15" t="s">
        <v>17</v>
      </c>
      <c r="C34" s="16" t="n">
        <v>0.2</v>
      </c>
      <c r="D34" s="17" t="n">
        <v>46265</v>
      </c>
      <c r="E34" s="17" t="n">
        <v>46271</v>
      </c>
      <c r="F34" s="18" t="n">
        <f aca="false">E34-D34+1</f>
        <v>7</v>
      </c>
      <c r="G34" s="18" t="n">
        <f aca="false">SUMPRODUCT((J$7:AE$7&lt;=$E34)*(J$7:AE$7+6&gt;=$D34))</f>
        <v>1</v>
      </c>
      <c r="H34" s="18" t="n">
        <f aca="false">IF($C34=0,0,IF($C34&gt;=1,$G34,MIN($G34-1,ROUND($C34*$G34,0))))</f>
        <v>0</v>
      </c>
      <c r="I34" s="17" t="str">
        <f aca="false">IF($H34=0,"",$D34-MOD($D34-$J$7,7)+7*$H34-1)</f>
        <v/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customFormat="false" ht="15" hidden="false" customHeight="true" outlineLevel="0" collapsed="false">
      <c r="A35" s="10" t="s">
        <v>42</v>
      </c>
      <c r="B35" s="10" t="s">
        <v>17</v>
      </c>
      <c r="C35" s="11" t="n">
        <v>0.2</v>
      </c>
      <c r="D35" s="12" t="n">
        <v>46267</v>
      </c>
      <c r="E35" s="12" t="n">
        <v>46274</v>
      </c>
      <c r="F35" s="13" t="n">
        <f aca="false">E35-D35+1</f>
        <v>8</v>
      </c>
      <c r="G35" s="13" t="n">
        <f aca="false">SUMPRODUCT((J$7:AE$7&lt;=$E35)*(J$7:AE$7+6&gt;=$D35))</f>
        <v>2</v>
      </c>
      <c r="H35" s="13" t="n">
        <f aca="false">IF($C35=0,0,IF($C35&gt;=1,$G35,MIN($G35-1,ROUND($C35*$G35,0))))</f>
        <v>0</v>
      </c>
      <c r="I35" s="12" t="str">
        <f aca="false">IF($H35=0,"",$D35-MOD($D35-$J$7,7)+7*$H35-1)</f>
        <v/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customFormat="false" ht="15" hidden="false" customHeight="true" outlineLevel="0" collapsed="false">
      <c r="A36" s="15" t="s">
        <v>43</v>
      </c>
      <c r="B36" s="15" t="s">
        <v>14</v>
      </c>
      <c r="C36" s="16" t="n">
        <v>0.2</v>
      </c>
      <c r="D36" s="17" t="n">
        <v>46270</v>
      </c>
      <c r="E36" s="17" t="n">
        <v>46275</v>
      </c>
      <c r="F36" s="18" t="n">
        <f aca="false">E36-D36+1</f>
        <v>6</v>
      </c>
      <c r="G36" s="18" t="n">
        <f aca="false">SUMPRODUCT((J$7:AE$7&lt;=$E36)*(J$7:AE$7+6&gt;=$D36))</f>
        <v>2</v>
      </c>
      <c r="H36" s="18" t="n">
        <f aca="false">IF($C36=0,0,IF($C36&gt;=1,$G36,MIN($G36-1,ROUND($C36*$G36,0))))</f>
        <v>0</v>
      </c>
      <c r="I36" s="17" t="str">
        <f aca="false">IF($H36=0,"",$D36-MOD($D36-$J$7,7)+7*$H36-1)</f>
        <v/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customFormat="false" ht="15" hidden="false" customHeight="true" outlineLevel="0" collapsed="false">
      <c r="A37" s="10" t="s">
        <v>44</v>
      </c>
      <c r="B37" s="10" t="s">
        <v>14</v>
      </c>
      <c r="C37" s="11" t="n">
        <v>0.2</v>
      </c>
      <c r="D37" s="12" t="n">
        <v>46272</v>
      </c>
      <c r="E37" s="12" t="n">
        <v>46276</v>
      </c>
      <c r="F37" s="13" t="n">
        <f aca="false">E37-D37+1</f>
        <v>5</v>
      </c>
      <c r="G37" s="13" t="n">
        <f aca="false">SUMPRODUCT((J$7:AE$7&lt;=$E37)*(J$7:AE$7+6&gt;=$D37))</f>
        <v>1</v>
      </c>
      <c r="H37" s="13" t="n">
        <f aca="false">IF($C37=0,0,IF($C37&gt;=1,$G37,MIN($G37-1,ROUND($C37*$G37,0))))</f>
        <v>0</v>
      </c>
      <c r="I37" s="12" t="str">
        <f aca="false">IF($H37=0,"",$D37-MOD($D37-$J$7,7)+7*$H37-1)</f>
        <v/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customFormat="false" ht="15" hidden="false" customHeight="true" outlineLevel="0" collapsed="false">
      <c r="A38" s="15" t="s">
        <v>45</v>
      </c>
      <c r="B38" s="15" t="s">
        <v>19</v>
      </c>
      <c r="C38" s="16" t="n">
        <v>0.2</v>
      </c>
      <c r="D38" s="17" t="n">
        <v>46274</v>
      </c>
      <c r="E38" s="17" t="n">
        <v>46278</v>
      </c>
      <c r="F38" s="18" t="n">
        <f aca="false">E38-D38+1</f>
        <v>5</v>
      </c>
      <c r="G38" s="18" t="n">
        <f aca="false">SUMPRODUCT((J$7:AE$7&lt;=$E38)*(J$7:AE$7+6&gt;=$D38))</f>
        <v>1</v>
      </c>
      <c r="H38" s="18" t="n">
        <f aca="false">IF($C38=0,0,IF($C38&gt;=1,$G38,MIN($G38-1,ROUND($C38*$G38,0))))</f>
        <v>0</v>
      </c>
      <c r="I38" s="17" t="str">
        <f aca="false">IF($H38=0,"",$D38-MOD($D38-$J$7,7)+7*$H38-1)</f>
        <v/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customFormat="false" ht="15" hidden="false" customHeight="true" outlineLevel="0" collapsed="false">
      <c r="A39" s="7" t="s">
        <v>46</v>
      </c>
      <c r="B39" s="8"/>
      <c r="C39" s="9" t="n">
        <v>0.1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customFormat="false" ht="15" hidden="false" customHeight="true" outlineLevel="0" collapsed="false">
      <c r="A40" s="15" t="s">
        <v>47</v>
      </c>
      <c r="B40" s="15" t="s">
        <v>19</v>
      </c>
      <c r="C40" s="16" t="n">
        <v>0.1</v>
      </c>
      <c r="D40" s="17" t="n">
        <v>46279</v>
      </c>
      <c r="E40" s="17" t="n">
        <v>46283</v>
      </c>
      <c r="F40" s="18" t="n">
        <f aca="false">E40-D40+1</f>
        <v>5</v>
      </c>
      <c r="G40" s="18" t="n">
        <f aca="false">SUMPRODUCT((J$7:AE$7&lt;=$E40)*(J$7:AE$7+6&gt;=$D40))</f>
        <v>1</v>
      </c>
      <c r="H40" s="18" t="n">
        <f aca="false">IF($C40=0,0,IF($C40&gt;=1,$G40,MIN($G40-1,ROUND($C40*$G40,0))))</f>
        <v>0</v>
      </c>
      <c r="I40" s="17" t="str">
        <f aca="false">IF($H40=0,"",$D40-MOD($D40-$J$7,7)+7*$H40-1)</f>
        <v/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customFormat="false" ht="15" hidden="false" customHeight="true" outlineLevel="0" collapsed="false">
      <c r="A41" s="10" t="s">
        <v>48</v>
      </c>
      <c r="B41" s="10" t="s">
        <v>19</v>
      </c>
      <c r="C41" s="11" t="n">
        <v>0.1</v>
      </c>
      <c r="D41" s="12" t="n">
        <v>46279</v>
      </c>
      <c r="E41" s="12" t="n">
        <v>46285</v>
      </c>
      <c r="F41" s="13" t="n">
        <f aca="false">E41-D41+1</f>
        <v>7</v>
      </c>
      <c r="G41" s="13" t="n">
        <f aca="false">SUMPRODUCT((J$7:AE$7&lt;=$E41)*(J$7:AE$7+6&gt;=$D41))</f>
        <v>1</v>
      </c>
      <c r="H41" s="13" t="n">
        <f aca="false">IF($C41=0,0,IF($C41&gt;=1,$G41,MIN($G41-1,ROUND($C41*$G41,0))))</f>
        <v>0</v>
      </c>
      <c r="I41" s="12" t="str">
        <f aca="false">IF($H41=0,"",$D41-MOD($D41-$J$7,7)+7*$H41-1)</f>
        <v/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customFormat="false" ht="15" hidden="false" customHeight="true" outlineLevel="0" collapsed="false">
      <c r="A42" s="15" t="s">
        <v>49</v>
      </c>
      <c r="B42" s="15" t="s">
        <v>14</v>
      </c>
      <c r="C42" s="16" t="n">
        <v>0.1</v>
      </c>
      <c r="D42" s="17" t="n">
        <v>46282</v>
      </c>
      <c r="E42" s="17" t="n">
        <v>46287</v>
      </c>
      <c r="F42" s="18" t="n">
        <f aca="false">E42-D42+1</f>
        <v>6</v>
      </c>
      <c r="G42" s="18" t="n">
        <f aca="false">SUMPRODUCT((J$7:AE$7&lt;=$E42)*(J$7:AE$7+6&gt;=$D42))</f>
        <v>2</v>
      </c>
      <c r="H42" s="18" t="n">
        <f aca="false">IF($C42=0,0,IF($C42&gt;=1,$G42,MIN($G42-1,ROUND($C42*$G42,0))))</f>
        <v>0</v>
      </c>
      <c r="I42" s="17" t="str">
        <f aca="false">IF($H42=0,"",$D42-MOD($D42-$J$7,7)+7*$H42-1)</f>
        <v/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customFormat="false" ht="15" hidden="false" customHeight="true" outlineLevel="0" collapsed="false">
      <c r="A43" s="10" t="s">
        <v>50</v>
      </c>
      <c r="B43" s="10" t="s">
        <v>17</v>
      </c>
      <c r="C43" s="11" t="n">
        <v>0.1</v>
      </c>
      <c r="D43" s="12" t="n">
        <v>46284</v>
      </c>
      <c r="E43" s="12" t="n">
        <v>46289</v>
      </c>
      <c r="F43" s="13" t="n">
        <f aca="false">E43-D43+1</f>
        <v>6</v>
      </c>
      <c r="G43" s="13" t="n">
        <f aca="false">SUMPRODUCT((J$7:AE$7&lt;=$E43)*(J$7:AE$7+6&gt;=$D43))</f>
        <v>2</v>
      </c>
      <c r="H43" s="13" t="n">
        <f aca="false">IF($C43=0,0,IF($C43&gt;=1,$G43,MIN($G43-1,ROUND($C43*$G43,0))))</f>
        <v>0</v>
      </c>
      <c r="I43" s="12" t="str">
        <f aca="false">IF($H43=0,"",$D43-MOD($D43-$J$7,7)+7*$H43-1)</f>
        <v/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customFormat="false" ht="15" hidden="false" customHeight="true" outlineLevel="0" collapsed="false">
      <c r="A44" s="7" t="s">
        <v>51</v>
      </c>
      <c r="B44" s="8"/>
      <c r="C44" s="9" t="n">
        <v>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customFormat="false" ht="15" hidden="false" customHeight="true" outlineLevel="0" collapsed="false">
      <c r="A45" s="10" t="s">
        <v>52</v>
      </c>
      <c r="B45" s="10" t="s">
        <v>17</v>
      </c>
      <c r="C45" s="11" t="n">
        <v>0</v>
      </c>
      <c r="D45" s="12" t="n">
        <v>46290</v>
      </c>
      <c r="E45" s="12" t="n">
        <v>46295</v>
      </c>
      <c r="F45" s="13" t="n">
        <f aca="false">E45-D45+1</f>
        <v>6</v>
      </c>
      <c r="G45" s="13" t="n">
        <f aca="false">SUMPRODUCT((J$7:AE$7&lt;=$E45)*(J$7:AE$7+6&gt;=$D45))</f>
        <v>2</v>
      </c>
      <c r="H45" s="13" t="n">
        <f aca="false">IF($C45=0,0,IF($C45&gt;=1,$G45,MIN($G45-1,ROUND($C45*$G45,0))))</f>
        <v>0</v>
      </c>
      <c r="I45" s="12" t="str">
        <f aca="false">IF($H45=0,"",$D45-MOD($D45-$J$7,7)+7*$H45-1)</f>
        <v/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customFormat="false" ht="15" hidden="false" customHeight="true" outlineLevel="0" collapsed="false">
      <c r="A46" s="15" t="s">
        <v>53</v>
      </c>
      <c r="B46" s="15" t="s">
        <v>14</v>
      </c>
      <c r="C46" s="16" t="n">
        <v>0</v>
      </c>
      <c r="D46" s="17" t="n">
        <v>46293</v>
      </c>
      <c r="E46" s="17" t="n">
        <v>46298</v>
      </c>
      <c r="F46" s="18" t="n">
        <f aca="false">E46-D46+1</f>
        <v>6</v>
      </c>
      <c r="G46" s="18" t="n">
        <f aca="false">SUMPRODUCT((J$7:AE$7&lt;=$E46)*(J$7:AE$7+6&gt;=$D46))</f>
        <v>1</v>
      </c>
      <c r="H46" s="18" t="n">
        <f aca="false">IF($C46=0,0,IF($C46&gt;=1,$G46,MIN($G46-1,ROUND($C46*$G46,0))))</f>
        <v>0</v>
      </c>
      <c r="I46" s="17" t="str">
        <f aca="false">IF($H46=0,"",$D46-MOD($D46-$J$7,7)+7*$H46-1)</f>
        <v/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customFormat="false" ht="15" hidden="false" customHeight="true" outlineLevel="0" collapsed="false">
      <c r="A47" s="10" t="s">
        <v>54</v>
      </c>
      <c r="B47" s="10" t="s">
        <v>14</v>
      </c>
      <c r="C47" s="11" t="n">
        <v>0</v>
      </c>
      <c r="D47" s="12" t="n">
        <v>46296</v>
      </c>
      <c r="E47" s="12" t="n">
        <v>46301</v>
      </c>
      <c r="F47" s="13" t="n">
        <f aca="false">E47-D47+1</f>
        <v>6</v>
      </c>
      <c r="G47" s="13" t="n">
        <f aca="false">SUMPRODUCT((J$7:AE$7&lt;=$E47)*(J$7:AE$7+6&gt;=$D47))</f>
        <v>2</v>
      </c>
      <c r="H47" s="13" t="n">
        <f aca="false">IF($C47=0,0,IF($C47&gt;=1,$G47,MIN($G47-1,ROUND($C47*$G47,0))))</f>
        <v>0</v>
      </c>
      <c r="I47" s="12" t="str">
        <f aca="false">IF($H47=0,"",$D47-MOD($D47-$J$7,7)+7*$H47-1)</f>
        <v/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customFormat="false" ht="15" hidden="false" customHeight="true" outlineLevel="0" collapsed="false">
      <c r="A48" s="15" t="s">
        <v>55</v>
      </c>
      <c r="B48" s="15" t="s">
        <v>17</v>
      </c>
      <c r="C48" s="16" t="n">
        <v>0</v>
      </c>
      <c r="D48" s="17" t="n">
        <v>46298</v>
      </c>
      <c r="E48" s="17" t="n">
        <v>46303</v>
      </c>
      <c r="F48" s="18" t="n">
        <f aca="false">E48-D48+1</f>
        <v>6</v>
      </c>
      <c r="G48" s="18" t="n">
        <f aca="false">SUMPRODUCT((J$7:AE$7&lt;=$E48)*(J$7:AE$7+6&gt;=$D48))</f>
        <v>2</v>
      </c>
      <c r="H48" s="18" t="n">
        <f aca="false">IF($C48=0,0,IF($C48&gt;=1,$G48,MIN($G48-1,ROUND($C48*$G48,0))))</f>
        <v>0</v>
      </c>
      <c r="I48" s="17" t="str">
        <f aca="false">IF($H48=0,"",$D48-MOD($D48-$J$7,7)+7*$H48-1)</f>
        <v/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customFormat="false" ht="15" hidden="false" customHeight="true" outlineLevel="0" collapsed="false">
      <c r="A49" s="10" t="s">
        <v>56</v>
      </c>
      <c r="B49" s="10" t="s">
        <v>19</v>
      </c>
      <c r="C49" s="11" t="n">
        <v>0</v>
      </c>
      <c r="D49" s="12" t="n">
        <v>46300</v>
      </c>
      <c r="E49" s="12" t="n">
        <v>46305</v>
      </c>
      <c r="F49" s="13" t="n">
        <f aca="false">E49-D49+1</f>
        <v>6</v>
      </c>
      <c r="G49" s="13" t="n">
        <f aca="false">SUMPRODUCT((J$7:AE$7&lt;=$E49)*(J$7:AE$7+6&gt;=$D49))</f>
        <v>1</v>
      </c>
      <c r="H49" s="13" t="n">
        <f aca="false">IF($C49=0,0,IF($C49&gt;=1,$G49,MIN($G49-1,ROUND($C49*$G49,0))))</f>
        <v>0</v>
      </c>
      <c r="I49" s="12" t="str">
        <f aca="false">IF($H49=0,"",$D49-MOD($D49-$J$7,7)+7*$H49-1)</f>
        <v/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customFormat="false" ht="15" hidden="false" customHeight="true" outlineLevel="0" collapsed="false">
      <c r="A50" s="7" t="s">
        <v>57</v>
      </c>
      <c r="B50" s="8"/>
      <c r="C50" s="9" t="n"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customFormat="false" ht="15" hidden="false" customHeight="true" outlineLevel="0" collapsed="false">
      <c r="A51" s="10" t="s">
        <v>58</v>
      </c>
      <c r="B51" s="10" t="s">
        <v>17</v>
      </c>
      <c r="C51" s="11" t="n">
        <v>0</v>
      </c>
      <c r="D51" s="12" t="n">
        <v>46307</v>
      </c>
      <c r="E51" s="12" t="n">
        <v>46311</v>
      </c>
      <c r="F51" s="13" t="n">
        <f aca="false">E51-D51+1</f>
        <v>5</v>
      </c>
      <c r="G51" s="13" t="n">
        <f aca="false">SUMPRODUCT((J$7:AE$7&lt;=$E51)*(J$7:AE$7+6&gt;=$D51))</f>
        <v>1</v>
      </c>
      <c r="H51" s="13" t="n">
        <f aca="false">IF($C51=0,0,IF($C51&gt;=1,$G51,MIN($G51-1,ROUND($C51*$G51,0))))</f>
        <v>0</v>
      </c>
      <c r="I51" s="12" t="str">
        <f aca="false">IF($H51=0,"",$D51-MOD($D51-$J$7,7)+7*$H51-1)</f>
        <v/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customFormat="false" ht="15" hidden="false" customHeight="true" outlineLevel="0" collapsed="false">
      <c r="A52" s="15" t="s">
        <v>59</v>
      </c>
      <c r="B52" s="15" t="s">
        <v>17</v>
      </c>
      <c r="C52" s="16" t="n">
        <v>0</v>
      </c>
      <c r="D52" s="17" t="n">
        <v>46310</v>
      </c>
      <c r="E52" s="17" t="n">
        <v>46315</v>
      </c>
      <c r="F52" s="18" t="n">
        <f aca="false">E52-D52+1</f>
        <v>6</v>
      </c>
      <c r="G52" s="18" t="n">
        <f aca="false">SUMPRODUCT((J$7:AE$7&lt;=$E52)*(J$7:AE$7+6&gt;=$D52))</f>
        <v>2</v>
      </c>
      <c r="H52" s="18" t="n">
        <f aca="false">IF($C52=0,0,IF($C52&gt;=1,$G52,MIN($G52-1,ROUND($C52*$G52,0))))</f>
        <v>0</v>
      </c>
      <c r="I52" s="17" t="str">
        <f aca="false">IF($H52=0,"",$D52-MOD($D52-$J$7,7)+7*$H52-1)</f>
        <v/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customFormat="false" ht="15" hidden="false" customHeight="true" outlineLevel="0" collapsed="false">
      <c r="A53" s="10" t="s">
        <v>60</v>
      </c>
      <c r="B53" s="10" t="s">
        <v>17</v>
      </c>
      <c r="C53" s="11" t="n">
        <v>0</v>
      </c>
      <c r="D53" s="12" t="n">
        <v>46314</v>
      </c>
      <c r="E53" s="12" t="n">
        <v>46317</v>
      </c>
      <c r="F53" s="13" t="n">
        <f aca="false">E53-D53+1</f>
        <v>4</v>
      </c>
      <c r="G53" s="13" t="n">
        <f aca="false">SUMPRODUCT((J$7:AE$7&lt;=$E53)*(J$7:AE$7+6&gt;=$D53))</f>
        <v>1</v>
      </c>
      <c r="H53" s="13" t="n">
        <f aca="false">IF($C53=0,0,IF($C53&gt;=1,$G53,MIN($G53-1,ROUND($C53*$G53,0))))</f>
        <v>0</v>
      </c>
      <c r="I53" s="12" t="str">
        <f aca="false">IF($H53=0,"",$D53-MOD($D53-$J$7,7)+7*$H53-1)</f>
        <v/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customFormat="false" ht="15" hidden="false" customHeight="true" outlineLevel="0" collapsed="false">
      <c r="A54" s="15" t="s">
        <v>61</v>
      </c>
      <c r="B54" s="15" t="s">
        <v>14</v>
      </c>
      <c r="C54" s="16" t="n">
        <v>0</v>
      </c>
      <c r="D54" s="17" t="n">
        <v>46316</v>
      </c>
      <c r="E54" s="17" t="n">
        <v>46319</v>
      </c>
      <c r="F54" s="18" t="n">
        <f aca="false">E54-D54+1</f>
        <v>4</v>
      </c>
      <c r="G54" s="18" t="n">
        <f aca="false">SUMPRODUCT((J$7:AE$7&lt;=$E54)*(J$7:AE$7+6&gt;=$D54))</f>
        <v>1</v>
      </c>
      <c r="H54" s="18" t="n">
        <f aca="false">IF($C54=0,0,IF($C54&gt;=1,$G54,MIN($G54-1,ROUND($C54*$G54,0))))</f>
        <v>0</v>
      </c>
      <c r="I54" s="17" t="str">
        <f aca="false">IF($H54=0,"",$D54-MOD($D54-$J$7,7)+7*$H54-1)</f>
        <v/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customFormat="false" ht="15" hidden="false" customHeight="true" outlineLevel="0" collapsed="false">
      <c r="A55" s="10" t="s">
        <v>62</v>
      </c>
      <c r="B55" s="10" t="s">
        <v>14</v>
      </c>
      <c r="C55" s="11" t="n">
        <v>0</v>
      </c>
      <c r="D55" s="12" t="n">
        <v>46321</v>
      </c>
      <c r="E55" s="12" t="n">
        <v>46325</v>
      </c>
      <c r="F55" s="13" t="n">
        <f aca="false">E55-D55+1</f>
        <v>5</v>
      </c>
      <c r="G55" s="13" t="n">
        <f aca="false">SUMPRODUCT((J$7:AE$7&lt;=$E55)*(J$7:AE$7+6&gt;=$D55))</f>
        <v>1</v>
      </c>
      <c r="H55" s="13" t="n">
        <f aca="false">IF($C55=0,0,IF($C55&gt;=1,$G55,MIN($G55-1,ROUND($C55*$G55,0))))</f>
        <v>0</v>
      </c>
      <c r="I55" s="12" t="str">
        <f aca="false">IF($H55=0,"",$D55-MOD($D55-$J$7,7)+7*$H55-1)</f>
        <v/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customFormat="false" ht="15" hidden="false" customHeight="true" outlineLevel="0" collapsed="false">
      <c r="A56" s="15" t="s">
        <v>63</v>
      </c>
      <c r="B56" s="15" t="s">
        <v>14</v>
      </c>
      <c r="C56" s="16" t="n">
        <v>0</v>
      </c>
      <c r="D56" s="17" t="n">
        <v>46328</v>
      </c>
      <c r="E56" s="17" t="n">
        <v>46332</v>
      </c>
      <c r="F56" s="18" t="n">
        <f aca="false">E56-D56+1</f>
        <v>5</v>
      </c>
      <c r="G56" s="18" t="n">
        <f aca="false">SUMPRODUCT((J$7:AE$7&lt;=$E56)*(J$7:AE$7+6&gt;=$D56))</f>
        <v>1</v>
      </c>
      <c r="H56" s="18" t="n">
        <f aca="false">IF($C56=0,0,IF($C56&gt;=1,$G56,MIN($G56-1,ROUND($C56*$G56,0))))</f>
        <v>0</v>
      </c>
      <c r="I56" s="17" t="str">
        <f aca="false">IF($H56=0,"",$D56-MOD($D56-$J$7,7)+7*$H56-1)</f>
        <v/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customFormat="false" ht="15" hidden="false" customHeight="true" outlineLevel="0" collapsed="false">
      <c r="A57" s="10" t="s">
        <v>64</v>
      </c>
      <c r="B57" s="10" t="s">
        <v>19</v>
      </c>
      <c r="C57" s="11" t="n">
        <v>0</v>
      </c>
      <c r="D57" s="12" t="n">
        <v>46335</v>
      </c>
      <c r="E57" s="12" t="n">
        <v>46346</v>
      </c>
      <c r="F57" s="13" t="n">
        <f aca="false">E57-D57+1</f>
        <v>12</v>
      </c>
      <c r="G57" s="13" t="n">
        <f aca="false">SUMPRODUCT((J$7:AE$7&lt;=$E57)*(J$7:AE$7+6&gt;=$D57))</f>
        <v>2</v>
      </c>
      <c r="H57" s="13" t="n">
        <f aca="false">IF($C57=0,0,IF($C57&gt;=1,$G57,MIN($G57-1,ROUND($C57*$G57,0))))</f>
        <v>0</v>
      </c>
      <c r="I57" s="12" t="str">
        <f aca="false">IF($H57=0,"",$D57-MOD($D57-$J$7,7)+7*$H57-1)</f>
        <v/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customFormat="false" ht="15" hidden="false" customHeight="true" outlineLevel="0" collapsed="false">
      <c r="A58" s="15" t="s">
        <v>65</v>
      </c>
      <c r="B58" s="15" t="s">
        <v>19</v>
      </c>
      <c r="C58" s="16" t="n">
        <v>0</v>
      </c>
      <c r="D58" s="17" t="n">
        <v>46349</v>
      </c>
      <c r="E58" s="17" t="n">
        <v>46371</v>
      </c>
      <c r="F58" s="18" t="n">
        <f aca="false">E58-D58+1</f>
        <v>23</v>
      </c>
      <c r="G58" s="18" t="n">
        <f aca="false">SUMPRODUCT((J$7:AE$7&lt;=$E58)*(J$7:AE$7+6&gt;=$D58))</f>
        <v>4</v>
      </c>
      <c r="H58" s="18" t="n">
        <f aca="false">IF($C58=0,0,IF($C58&gt;=1,$G58,MIN($G58-1,ROUND($C58*$G58,0))))</f>
        <v>0</v>
      </c>
      <c r="I58" s="17" t="str">
        <f aca="false">IF($H58=0,"",$D58-MOD($D58-$J$7,7)+7*$H58-1)</f>
        <v/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60" customFormat="false" ht="15" hidden="false" customHeight="false" outlineLevel="0" collapsed="false">
      <c r="A60" s="19" t="s">
        <v>66</v>
      </c>
    </row>
    <row r="61" customFormat="false" ht="15" hidden="false" customHeight="true" outlineLevel="0" collapsed="false">
      <c r="A61" s="20"/>
      <c r="B61" s="21" t="s">
        <v>67</v>
      </c>
    </row>
    <row r="62" customFormat="false" ht="15" hidden="false" customHeight="true" outlineLevel="0" collapsed="false">
      <c r="A62" s="22"/>
      <c r="B62" s="21" t="s">
        <v>68</v>
      </c>
    </row>
    <row r="63" customFormat="false" ht="15" hidden="false" customHeight="true" outlineLevel="0" collapsed="false">
      <c r="A63" s="23"/>
      <c r="B63" s="21" t="s">
        <v>69</v>
      </c>
    </row>
    <row r="64" customFormat="false" ht="15" hidden="false" customHeight="true" outlineLevel="0" collapsed="false">
      <c r="A64" s="24"/>
      <c r="B64" s="21" t="s">
        <v>70</v>
      </c>
    </row>
  </sheetData>
  <mergeCells count="12">
    <mergeCell ref="A1:AE1"/>
    <mergeCell ref="A2:AE2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AE5"/>
  </mergeCells>
  <conditionalFormatting sqref="J8:AE58">
    <cfRule type="expression" priority="2" aboveAverage="0" equalAverage="0" bottom="0" percent="0" rank="0" text="" dxfId="0">
      <formula>AND($D8&lt;&gt;"",$I8&lt;&gt;"",J$7&lt;=$I8,J$7+6&gt;=$D8)</formula>
    </cfRule>
    <cfRule type="expression" priority="3" aboveAverage="0" equalAverage="0" bottom="0" percent="0" rank="0" text="" dxfId="1">
      <formula>AND($G8=1,$C8&gt;=0.5,$C8&lt;1,$D8&lt;&gt;"",J$7&lt;=$E8,J$7+6&gt;=$D8)</formula>
    </cfRule>
    <cfRule type="expression" priority="4" aboveAverage="0" equalAverage="0" bottom="0" percent="0" rank="0" text="" dxfId="2">
      <formula>AND($D8&lt;&gt;"",J$7&lt;=$E8,J$7+6&gt;=$D8)</formula>
    </cfRule>
  </conditionalFormatting>
  <conditionalFormatting sqref="J6:AE58">
    <cfRule type="expression" priority="5" aboveAverage="0" equalAverage="0" bottom="0" percent="0" rank="0" text="" dxfId="3">
      <formula>AND(TODAY()&gt;=J$7,TODAY()&lt;=J$7+6)</formula>
    </cfRule>
  </conditionalFormatting>
  <conditionalFormatting sqref="C8:C58">
    <cfRule type="dataBar" priority="6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{B1EAF730-2382-4F43-801A-1B783412F4FA}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EAF730-2382-4F43-801A-1B783412F4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C8:C58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24" hidden="false" customHeight="true" outlineLevel="0" collapsed="false">
      <c r="A1" s="25" t="s">
        <v>71</v>
      </c>
      <c r="B1" s="25"/>
    </row>
    <row r="3" customFormat="false" ht="18" hidden="false" customHeight="true" outlineLevel="0" collapsed="false">
      <c r="A3" s="26" t="s">
        <v>72</v>
      </c>
      <c r="B3" s="26"/>
    </row>
    <row r="4" customFormat="false" ht="30" hidden="false" customHeight="true" outlineLevel="0" collapsed="false">
      <c r="A4" s="27" t="s">
        <v>73</v>
      </c>
      <c r="B4" s="28" t="s">
        <v>74</v>
      </c>
    </row>
    <row r="5" customFormat="false" ht="30" hidden="false" customHeight="true" outlineLevel="0" collapsed="false">
      <c r="A5" s="27" t="s">
        <v>75</v>
      </c>
      <c r="B5" s="28" t="s">
        <v>76</v>
      </c>
    </row>
    <row r="6" customFormat="false" ht="30" hidden="false" customHeight="true" outlineLevel="0" collapsed="false">
      <c r="A6" s="27" t="s">
        <v>77</v>
      </c>
      <c r="B6" s="28" t="s">
        <v>78</v>
      </c>
    </row>
    <row r="7" customFormat="false" ht="30" hidden="false" customHeight="true" outlineLevel="0" collapsed="false">
      <c r="A7" s="27" t="s">
        <v>79</v>
      </c>
      <c r="B7" s="28" t="s">
        <v>14</v>
      </c>
    </row>
    <row r="8" customFormat="false" ht="30" hidden="false" customHeight="true" outlineLevel="0" collapsed="false">
      <c r="A8" s="27" t="s">
        <v>80</v>
      </c>
      <c r="B8" s="28" t="s">
        <v>81</v>
      </c>
    </row>
    <row r="10" customFormat="false" ht="18" hidden="false" customHeight="true" outlineLevel="0" collapsed="false">
      <c r="A10" s="26" t="s">
        <v>82</v>
      </c>
      <c r="B10" s="26"/>
    </row>
    <row r="11" customFormat="false" ht="30" hidden="false" customHeight="true" outlineLevel="0" collapsed="false">
      <c r="A11" s="27" t="s">
        <v>83</v>
      </c>
      <c r="B11" s="28" t="s">
        <v>84</v>
      </c>
    </row>
    <row r="12" customFormat="false" ht="30" hidden="false" customHeight="true" outlineLevel="0" collapsed="false">
      <c r="A12" s="27" t="s">
        <v>17</v>
      </c>
      <c r="B12" s="28" t="s">
        <v>85</v>
      </c>
    </row>
    <row r="13" customFormat="false" ht="30" hidden="false" customHeight="true" outlineLevel="0" collapsed="false">
      <c r="A13" s="27" t="s">
        <v>19</v>
      </c>
      <c r="B13" s="28" t="s">
        <v>86</v>
      </c>
    </row>
    <row r="15" customFormat="false" ht="18" hidden="false" customHeight="true" outlineLevel="0" collapsed="false">
      <c r="A15" s="26" t="s">
        <v>87</v>
      </c>
      <c r="B15" s="26"/>
    </row>
    <row r="16" customFormat="false" ht="15" hidden="false" customHeight="false" outlineLevel="0" collapsed="false">
      <c r="A16" s="29" t="s">
        <v>88</v>
      </c>
      <c r="B16" s="29" t="s">
        <v>89</v>
      </c>
    </row>
    <row r="17" customFormat="false" ht="15" hidden="false" customHeight="false" outlineLevel="0" collapsed="false">
      <c r="A17" s="21" t="s">
        <v>90</v>
      </c>
      <c r="B17" s="21" t="s">
        <v>91</v>
      </c>
    </row>
    <row r="18" customFormat="false" ht="15" hidden="false" customHeight="false" outlineLevel="0" collapsed="false">
      <c r="A18" s="21" t="s">
        <v>92</v>
      </c>
      <c r="B18" s="21" t="s">
        <v>91</v>
      </c>
    </row>
    <row r="19" customFormat="false" ht="15" hidden="false" customHeight="false" outlineLevel="0" collapsed="false">
      <c r="A19" s="21" t="s">
        <v>93</v>
      </c>
      <c r="B19" s="21" t="s">
        <v>91</v>
      </c>
    </row>
    <row r="20" customFormat="false" ht="15" hidden="false" customHeight="false" outlineLevel="0" collapsed="false">
      <c r="A20" s="21" t="s">
        <v>94</v>
      </c>
      <c r="B20" s="21" t="s">
        <v>95</v>
      </c>
    </row>
    <row r="21" customFormat="false" ht="15" hidden="false" customHeight="false" outlineLevel="0" collapsed="false">
      <c r="A21" s="21" t="s">
        <v>96</v>
      </c>
      <c r="B21" s="21" t="s">
        <v>97</v>
      </c>
    </row>
    <row r="22" customFormat="false" ht="15" hidden="false" customHeight="false" outlineLevel="0" collapsed="false">
      <c r="A22" s="21" t="s">
        <v>98</v>
      </c>
      <c r="B22" s="21" t="s">
        <v>99</v>
      </c>
    </row>
    <row r="23" customFormat="false" ht="15" hidden="false" customHeight="false" outlineLevel="0" collapsed="false">
      <c r="A23" s="21" t="s">
        <v>100</v>
      </c>
      <c r="B23" s="21" t="s">
        <v>101</v>
      </c>
    </row>
    <row r="24" customFormat="false" ht="15" hidden="false" customHeight="false" outlineLevel="0" collapsed="false">
      <c r="A24" s="21" t="s">
        <v>102</v>
      </c>
      <c r="B24" s="21" t="s">
        <v>101</v>
      </c>
    </row>
    <row r="26" customFormat="false" ht="18" hidden="false" customHeight="true" outlineLevel="0" collapsed="false">
      <c r="A26" s="26" t="s">
        <v>103</v>
      </c>
      <c r="B26" s="26"/>
    </row>
    <row r="27" customFormat="false" ht="30" hidden="false" customHeight="true" outlineLevel="0" collapsed="false">
      <c r="A27" s="27" t="s">
        <v>104</v>
      </c>
      <c r="B27" s="28" t="s">
        <v>105</v>
      </c>
    </row>
    <row r="28" customFormat="false" ht="30" hidden="false" customHeight="true" outlineLevel="0" collapsed="false">
      <c r="A28" s="27" t="s">
        <v>106</v>
      </c>
      <c r="B28" s="28" t="s">
        <v>107</v>
      </c>
    </row>
    <row r="29" customFormat="false" ht="30" hidden="false" customHeight="true" outlineLevel="0" collapsed="false">
      <c r="A29" s="27" t="s">
        <v>108</v>
      </c>
      <c r="B29" s="28" t="s">
        <v>109</v>
      </c>
    </row>
    <row r="30" customFormat="false" ht="30" hidden="false" customHeight="true" outlineLevel="0" collapsed="false">
      <c r="A30" s="27" t="s">
        <v>110</v>
      </c>
      <c r="B30" s="28" t="s">
        <v>111</v>
      </c>
    </row>
    <row r="31" customFormat="false" ht="30" hidden="false" customHeight="true" outlineLevel="0" collapsed="false">
      <c r="A31" s="27" t="s">
        <v>112</v>
      </c>
      <c r="B31" s="28" t="s">
        <v>113</v>
      </c>
    </row>
    <row r="32" customFormat="false" ht="30" hidden="false" customHeight="true" outlineLevel="0" collapsed="false">
      <c r="A32" s="27" t="s">
        <v>114</v>
      </c>
      <c r="B32" s="28" t="s">
        <v>115</v>
      </c>
    </row>
    <row r="33" customFormat="false" ht="30" hidden="false" customHeight="true" outlineLevel="0" collapsed="false">
      <c r="A33" s="27" t="s">
        <v>116</v>
      </c>
      <c r="B33" s="28" t="s">
        <v>117</v>
      </c>
    </row>
    <row r="34" customFormat="false" ht="30" hidden="false" customHeight="true" outlineLevel="0" collapsed="false">
      <c r="A34" s="27" t="s">
        <v>118</v>
      </c>
      <c r="B34" s="28" t="s">
        <v>119</v>
      </c>
    </row>
    <row r="36" customFormat="false" ht="18" hidden="false" customHeight="true" outlineLevel="0" collapsed="false">
      <c r="A36" s="26" t="s">
        <v>120</v>
      </c>
      <c r="B36" s="26"/>
    </row>
    <row r="37" customFormat="false" ht="30" hidden="false" customHeight="true" outlineLevel="0" collapsed="false">
      <c r="A37" s="27" t="s">
        <v>121</v>
      </c>
      <c r="B37" s="28" t="s">
        <v>122</v>
      </c>
    </row>
    <row r="38" customFormat="false" ht="30" hidden="false" customHeight="true" outlineLevel="0" collapsed="false">
      <c r="A38" s="27" t="s">
        <v>121</v>
      </c>
      <c r="B38" s="28" t="s">
        <v>123</v>
      </c>
    </row>
    <row r="39" customFormat="false" ht="30" hidden="false" customHeight="true" outlineLevel="0" collapsed="false">
      <c r="A39" s="27" t="s">
        <v>121</v>
      </c>
      <c r="B39" s="28" t="s">
        <v>124</v>
      </c>
    </row>
    <row r="40" customFormat="false" ht="30" hidden="false" customHeight="true" outlineLevel="0" collapsed="false">
      <c r="A40" s="27" t="s">
        <v>121</v>
      </c>
      <c r="B40" s="28" t="s">
        <v>125</v>
      </c>
    </row>
    <row r="41" customFormat="false" ht="30" hidden="false" customHeight="true" outlineLevel="0" collapsed="false">
      <c r="A41" s="27" t="s">
        <v>121</v>
      </c>
      <c r="B41" s="28" t="s">
        <v>126</v>
      </c>
    </row>
    <row r="42" customFormat="false" ht="30" hidden="false" customHeight="true" outlineLevel="0" collapsed="false">
      <c r="A42" s="27" t="s">
        <v>121</v>
      </c>
      <c r="B42" s="28" t="s">
        <v>127</v>
      </c>
    </row>
    <row r="44" customFormat="false" ht="18" hidden="false" customHeight="true" outlineLevel="0" collapsed="false">
      <c r="A44" s="26" t="s">
        <v>128</v>
      </c>
      <c r="B44" s="26"/>
    </row>
    <row r="45" customFormat="false" ht="30" hidden="false" customHeight="true" outlineLevel="0" collapsed="false">
      <c r="A45" s="27" t="s">
        <v>129</v>
      </c>
      <c r="B45" s="28" t="s">
        <v>130</v>
      </c>
    </row>
    <row r="46" customFormat="false" ht="30" hidden="false" customHeight="true" outlineLevel="0" collapsed="false">
      <c r="A46" s="27" t="s">
        <v>131</v>
      </c>
      <c r="B46" s="28" t="s">
        <v>132</v>
      </c>
    </row>
  </sheetData>
  <mergeCells count="7">
    <mergeCell ref="A1:B1"/>
    <mergeCell ref="A3:B3"/>
    <mergeCell ref="A10:B10"/>
    <mergeCell ref="A15:B15"/>
    <mergeCell ref="A26:B26"/>
    <mergeCell ref="A36:B36"/>
    <mergeCell ref="A44:B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2026-09-13T22:14:50Z</dcterms:created>
  <dc:creator>openpyxl</dc:creator>
  <dc:description/>
  <dc:language>en-US</dc:language>
  <cp:lastModifiedBy/>
  <dcterms:modified xsi:type="dcterms:W3CDTF">2026-09-13T22:14:50Z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